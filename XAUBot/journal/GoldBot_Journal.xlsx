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pr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/MM/YYYY HH:MM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i val="1"/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pivotButton="0" quotePrefix="0" xfId="0"/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2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1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" customWidth="1" min="4" max="4"/>
  </cols>
  <sheetData>
    <row r="1" ht="32" customHeight="1">
      <c r="A1" s="1" t="inlineStr">
        <is>
          <t>📊 GoldBot — Ringkasan Performa</t>
        </is>
      </c>
    </row>
    <row r="3">
      <c r="B3" s="2" t="inlineStr">
        <is>
          <t>Total Trade</t>
        </is>
      </c>
      <c r="C3" s="3">
        <f>COUNTA('Apr 2026'!A2:A10000)-COUNTBLANK('Apr 2026'!A2:A10000)</f>
        <v/>
      </c>
    </row>
    <row r="4">
      <c r="B4" s="2" t="inlineStr">
        <is>
          <t>Trade WIN</t>
        </is>
      </c>
      <c r="C4" s="3">
        <f>COUNTIF('Apr 2026'!O2:O10000,"&gt;0")</f>
        <v/>
      </c>
    </row>
    <row r="5">
      <c r="B5" s="2" t="inlineStr">
        <is>
          <t>Trade LOSS</t>
        </is>
      </c>
      <c r="C5" s="3">
        <f>COUNTIF('Apr 2026'!O2:O10000,"&lt;0")</f>
        <v/>
      </c>
    </row>
    <row r="6">
      <c r="B6" s="2" t="inlineStr">
        <is>
          <t>Win Rate (%)</t>
        </is>
      </c>
      <c r="C6" s="4">
        <f>IFERROR(C4/C3*100,0)</f>
        <v/>
      </c>
    </row>
    <row r="8">
      <c r="B8" s="2" t="inlineStr">
        <is>
          <t>Total Net P&amp;L ($)</t>
        </is>
      </c>
      <c r="C8" s="5">
        <f>SUMIF('Apr 2026'!A2:A10000,"&lt;&gt;",'Apr 2026'!O2:O10000)</f>
        <v/>
      </c>
    </row>
    <row r="9">
      <c r="B9" s="2" t="inlineStr">
        <is>
          <t>Best Trade ($)</t>
        </is>
      </c>
      <c r="C9" s="5">
        <f>IFERROR(MAX('Apr 2026'!O2:O10000),0)</f>
        <v/>
      </c>
    </row>
    <row r="10">
      <c r="B10" s="2" t="inlineStr">
        <is>
          <t>Worst Trade ($)</t>
        </is>
      </c>
      <c r="C10" s="5">
        <f>IFERROR(MIN('Apr 2026'!O2:O10000),0)</f>
        <v/>
      </c>
    </row>
    <row r="11">
      <c r="B11" s="2" t="inlineStr">
        <is>
          <t>Avg Win ($)</t>
        </is>
      </c>
      <c r="C11" s="5">
        <f>IFERROR(AVERAGEIF('Apr 2026'!O2:O10000,"&gt;0"),0)</f>
        <v/>
      </c>
    </row>
    <row r="12">
      <c r="B12" s="2" t="inlineStr">
        <is>
          <t>Avg Loss ($)</t>
        </is>
      </c>
      <c r="C12" s="5">
        <f>IFERROR(AVERAGEIF('Apr 2026'!O2:O10000,"&lt;0"),0)</f>
        <v/>
      </c>
    </row>
    <row r="13">
      <c r="B13" s="2" t="inlineStr">
        <is>
          <t>Profit Factor</t>
        </is>
      </c>
      <c r="C13" s="6">
        <f>IFERROR(SUMIF('Apr 2026'!O2:O10000,"&gt;0")/ABS(SUMIF('Apr 2026'!O2:O10000,"&lt;0")),0)</f>
        <v/>
      </c>
    </row>
    <row r="15">
      <c r="B15" s="2" t="inlineStr">
        <is>
          <t>Updated</t>
        </is>
      </c>
      <c r="C15" s="7">
        <f>NOW()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6" customWidth="1" min="5" max="5"/>
    <col width="10" customWidth="1" min="6" max="6"/>
    <col width="7" customWidth="1" min="7" max="7"/>
    <col width="6" customWidth="1" min="8" max="8"/>
    <col width="12" customWidth="1" min="9" max="9"/>
    <col width="12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3" customWidth="1" min="16" max="16"/>
    <col width="14" customWidth="1" min="17" max="17"/>
    <col width="20" customWidth="1" min="18" max="18"/>
  </cols>
  <sheetData>
    <row r="1" ht="30" customHeight="1">
      <c r="A1" s="8" t="inlineStr">
        <is>
          <t>#</t>
        </is>
      </c>
      <c r="B1" s="8" t="inlineStr">
        <is>
          <t>Tanggal</t>
        </is>
      </c>
      <c r="C1" s="8" t="inlineStr">
        <is>
          <t>Waktu Open</t>
        </is>
      </c>
      <c r="D1" s="8" t="inlineStr">
        <is>
          <t>Waktu Close</t>
        </is>
      </c>
      <c r="E1" s="8" t="inlineStr">
        <is>
          <t>Durasi (menit)</t>
        </is>
      </c>
      <c r="F1" s="8" t="inlineStr">
        <is>
          <t>Simbol</t>
        </is>
      </c>
      <c r="G1" s="8" t="inlineStr">
        <is>
          <t>Arah</t>
        </is>
      </c>
      <c r="H1" s="8" t="inlineStr">
        <is>
          <t>Lot</t>
        </is>
      </c>
      <c r="I1" s="8" t="inlineStr">
        <is>
          <t>Harga Open</t>
        </is>
      </c>
      <c r="J1" s="8" t="inlineStr">
        <is>
          <t>Harga Close</t>
        </is>
      </c>
      <c r="K1" s="8" t="inlineStr">
        <is>
          <t>SL</t>
        </is>
      </c>
      <c r="L1" s="8" t="inlineStr">
        <is>
          <t>TP</t>
        </is>
      </c>
      <c r="M1" s="8" t="inlineStr">
        <is>
          <t>Profit ($)</t>
        </is>
      </c>
      <c r="N1" s="8" t="inlineStr">
        <is>
          <t>Komisi ($)</t>
        </is>
      </c>
      <c r="O1" s="8" t="inlineStr">
        <is>
          <t>Net P&amp;L ($)</t>
        </is>
      </c>
      <c r="P1" s="8" t="inlineStr">
        <is>
          <t>Exit Reason</t>
        </is>
      </c>
      <c r="Q1" s="8" t="inlineStr">
        <is>
          <t>Kumulatif ($)</t>
        </is>
      </c>
      <c r="R1" s="8" t="inlineStr">
        <is>
          <t>Catatan</t>
        </is>
      </c>
    </row>
    <row r="2" ht="18" customHeight="1">
      <c r="A2" s="9" t="inlineStr">
        <is>
          <t>── Ringkasan 27/04/2026 | 0 trades | Net: $+0.00 ──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1" t="n"/>
    </row>
    <row r="3" ht="18" customHeight="1">
      <c r="A3" s="9" t="inlineStr">
        <is>
          <t>── Ringkasan 27/04/2026 | 0 trades | Net: $+0.00 ──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1" t="n"/>
    </row>
  </sheetData>
  <mergeCells count="2">
    <mergeCell ref="A3:R3"/>
    <mergeCell ref="A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2026-04-27T05:59:14Z</dcterms:created>
  <dcterms:modified xsi:type="dcterms:W3CDTF">2026-04-27T06:00:55Z</dcterms:modified>
</cp:coreProperties>
</file>